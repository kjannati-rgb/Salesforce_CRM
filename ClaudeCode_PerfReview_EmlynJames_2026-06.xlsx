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Bookings" sheetId="2" state="visible" r:id="rId2"/>
    <sheet xmlns:r="http://schemas.openxmlformats.org/officeDocument/2006/relationships" name="B_WinRate" sheetId="3" state="visible" r:id="rId3"/>
    <sheet xmlns:r="http://schemas.openxmlformats.org/officeDocument/2006/relationships" name="C_Cycle_ASP" sheetId="4" state="visible" r:id="rId4"/>
    <sheet xmlns:r="http://schemas.openxmlformats.org/officeDocument/2006/relationships" name="D_Pipeline" sheetId="5" state="visible" r:id="rId5"/>
    <sheet xmlns:r="http://schemas.openxmlformats.org/officeDocument/2006/relationships" name="E_Economics" sheetId="6" state="visible" r:id="rId6"/>
    <sheet xmlns:r="http://schemas.openxmlformats.org/officeDocument/2006/relationships" name="F_Loss" sheetId="7" state="visible" r:id="rId7"/>
    <sheet xmlns:r="http://schemas.openxmlformats.org/officeDocument/2006/relationships" name="G_Trend" sheetId="8" state="visible" r:id="rId8"/>
    <sheet xmlns:r="http://schemas.openxmlformats.org/officeDocument/2006/relationships" name="J_Team" sheetId="9" state="visible" r:id="rId9"/>
    <sheet xmlns:r="http://schemas.openxmlformats.org/officeDocument/2006/relationships" name="H_Funnel" sheetId="10" state="visible" r:id="rId10"/>
    <sheet xmlns:r="http://schemas.openxmlformats.org/officeDocument/2006/relationships" name="I_US_Compare" sheetId="11" state="visible" r:id="rId11"/>
    <sheet xmlns:r="http://schemas.openxmlformats.org/officeDocument/2006/relationships" name="K_CycleByBand" sheetId="12" state="visible" r:id="rId12"/>
    <sheet xmlns:r="http://schemas.openxmlformats.org/officeDocument/2006/relationships" name="L_PodFunne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"/>
    <numFmt numFmtId="166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6" fillId="0" borderId="1" pivotButton="0" quotePrefix="0" xfId="0"/>
    <xf numFmtId="165" fontId="3" fillId="0" borderId="1" pivotButton="0" quotePrefix="0" xfId="0"/>
    <xf numFmtId="0" fontId="4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4" borderId="1" pivotButton="0" quotePrefix="0" xfId="0"/>
    <xf numFmtId="166" fontId="6" fillId="4" borderId="1" pivotButton="0" quotePrefix="0" xfId="0"/>
    <xf numFmtId="164" fontId="6" fillId="4" borderId="1" pivotButton="0" quotePrefix="0" xfId="0"/>
    <xf numFmtId="165" fontId="2" fillId="4" borderId="1" pivotButton="0" quotePrefix="0" xfId="0"/>
    <xf numFmtId="0" fontId="3" fillId="0" borderId="1" pivotButton="0" quotePrefix="0" xfId="0"/>
    <xf numFmtId="166" fontId="6" fillId="0" borderId="1" pivotButton="0" quotePrefix="0" xfId="0"/>
    <xf numFmtId="0" fontId="3" fillId="0" borderId="1" applyAlignment="1" pivotButton="0" quotePrefix="0" xfId="0">
      <alignment horizontal="center"/>
    </xf>
    <xf numFmtId="0" fontId="0" fillId="3" borderId="0" pivotButton="0" quotePrefix="0" xfId="0"/>
    <xf numFmtId="164" fontId="3" fillId="0" borderId="1" pivotButton="0" quotePrefix="0" xfId="0"/>
    <xf numFmtId="164" fontId="2" fillId="0" borderId="1" pivotButton="0" quotePrefix="0" xfId="0"/>
    <xf numFmtId="0" fontId="0" fillId="4" borderId="0" pivotButton="0" quotePrefix="0" xfId="0"/>
    <xf numFmtId="164" fontId="2" fillId="4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166" fontId="3" fillId="4" borderId="1" pivotButton="0" quotePrefix="0" xfId="0"/>
    <xf numFmtId="166" fontId="3" fillId="0" borderId="1" pivotButton="0" quotePrefix="0" xfId="0"/>
    <xf numFmtId="165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Emlyn James — Performance Assessment: Source Workbook</t>
        </is>
      </c>
    </row>
    <row r="4">
      <c r="A4" s="2" t="inlineStr">
        <is>
          <t>Subject</t>
        </is>
      </c>
      <c r="B4" s="3" t="inlineStr">
        <is>
          <t>Emlyn James  |  User.Id 0054L0000048GrLQAU  |  Sales Team Lead</t>
        </is>
      </c>
    </row>
    <row r="5">
      <c r="A5" s="2" t="inlineStr">
        <is>
          <t>Role</t>
        </is>
      </c>
      <c r="B5" s="3" t="inlineStr">
        <is>
          <t>PI - Lexology Pro - New Business Development Team Leader 2.1</t>
        </is>
      </c>
    </row>
    <row r="6">
      <c r="A6" s="2" t="inlineStr">
        <is>
          <t>Tenure</t>
        </is>
      </c>
      <c r="B6" s="3" t="inlineStr">
        <is>
          <t>Created 2023-01-05  |  ~3.47 yrs  |  ~13.9 tenure-quarters (to 2026-06-24)</t>
        </is>
      </c>
    </row>
    <row r="7">
      <c r="A7" s="2" t="inlineStr">
        <is>
          <t>Manager</t>
        </is>
      </c>
      <c r="B7" s="3" t="inlineStr">
        <is>
          <t>Florence Perkins (now inactive)</t>
        </is>
      </c>
    </row>
    <row r="8">
      <c r="A8" s="2" t="inlineStr">
        <is>
          <t>Org</t>
        </is>
      </c>
      <c r="B8" s="3" t="inlineStr">
        <is>
          <t>Production 00D6g0000081IOg - Law Business Research (UK) Ltd / Centellic</t>
        </is>
      </c>
    </row>
    <row r="9">
      <c r="A9" s="2" t="inlineStr">
        <is>
          <t>Currency</t>
        </is>
      </c>
      <c r="B9" s="3" t="inlineStr">
        <is>
          <t>GBP-normalised: ACV = Annual_Contract_Value_converted__c; TCV = Amount_GBP__c</t>
        </is>
      </c>
    </row>
    <row r="10">
      <c r="A10" s="2" t="inlineStr">
        <is>
          <t>Hygiene</t>
        </is>
      </c>
      <c r="B10" s="3" t="inlineStr">
        <is>
          <t>Deleted__c excluded; Trial__c = false on all closed (no trial adjustment)</t>
        </is>
      </c>
    </row>
    <row r="11">
      <c r="A11" s="2" t="inlineStr">
        <is>
          <t>Motion</t>
        </is>
      </c>
      <c r="B11" s="3" t="inlineStr">
        <is>
          <t>99.8% New Business (567/568 opps; 1 lost Renewal) - new-logo carrier</t>
        </is>
      </c>
    </row>
    <row r="12">
      <c r="A12" s="2" t="inlineStr">
        <is>
          <t>Pulled</t>
        </is>
      </c>
      <c r="B12" s="3" t="inlineStr">
        <is>
          <t>24 June 2026, read-only, via Salesforce SOQL</t>
        </is>
      </c>
    </row>
    <row r="13">
      <c r="A13" s="2" t="inlineStr"/>
      <c r="B13" s="3" t="inlineStr"/>
    </row>
    <row r="14">
      <c r="A14" s="2" t="inlineStr">
        <is>
          <t>Baseline reconciliation</t>
        </is>
      </c>
      <c r="B14" s="3" t="inlineStr">
        <is>
          <t>Brief vs pulled</t>
        </is>
      </c>
    </row>
    <row r="15">
      <c r="A15" s="2" t="inlineStr">
        <is>
          <t>Closed Won</t>
        </is>
      </c>
      <c r="B15" s="3" t="inlineStr">
        <is>
          <t>97 opps / GBP 907,585 TCV / 849,834 ACV  (brief ~908K) OK</t>
        </is>
      </c>
    </row>
    <row r="16">
      <c r="A16" s="2" t="inlineStr">
        <is>
          <t>Closed Lost</t>
        </is>
      </c>
      <c r="B16" s="3" t="inlineStr">
        <is>
          <t>445 opps / GBP 3,310,869 TCV  (brief 444 / ~3.29M) OK</t>
        </is>
      </c>
    </row>
    <row r="17">
      <c r="A17" s="2" t="inlineStr">
        <is>
          <t>Open</t>
        </is>
      </c>
      <c r="B17" s="3" t="inlineStr">
        <is>
          <t>26 opps / GBP 246,553 TCV / 206,358 ACV  (brief ~247K) OK</t>
        </is>
      </c>
    </row>
    <row r="18">
      <c r="A18" s="2" t="inlineStr"/>
      <c r="B18" s="3" t="inlineStr"/>
    </row>
    <row r="19">
      <c r="A19" s="2" t="inlineStr">
        <is>
          <t>Tabs</t>
        </is>
      </c>
      <c r="B19" s="3" t="inlineStr">
        <is>
          <t>A Bookings | B WinRate | C Cycle/ASP | D Pipeline | E Economics | F Loss | G Trend | J Team</t>
        </is>
      </c>
    </row>
    <row r="20">
      <c r="A20" s="2" t="inlineStr">
        <is>
          <t>Note</t>
        </is>
      </c>
      <c r="B20" s="3" t="inlineStr">
        <is>
          <t>Cells in blue text = hardcoded SOQL pulls. Black = Excel formulas (rates/ratios).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16" customWidth="1" min="4" max="4"/>
    <col width="9" customWidth="1" min="5" max="5"/>
    <col width="16" customWidth="1" min="6" max="6"/>
    <col width="14" customWidth="1" min="7" max="7"/>
    <col width="20" customWidth="1" min="8" max="8"/>
    <col width="16" customWidth="1" min="9" max="9"/>
  </cols>
  <sheetData>
    <row r="1">
      <c r="A1" s="1" t="inlineStr">
        <is>
          <t>A. Bookings, Attainment &amp; Trajectory (Emlyn IC, closed)</t>
        </is>
      </c>
    </row>
    <row r="2">
      <c r="A2" s="4" t="inlineStr">
        <is>
          <t>Won/Lost by fiscal year (Jan-Dec). Attainment = Won ACV / deduplicated ForecastingQuota. No FY26 quota loaded.</t>
        </is>
      </c>
    </row>
    <row r="4">
      <c r="A4" s="5" t="inlineStr">
        <is>
          <t>Fiscal Year</t>
        </is>
      </c>
      <c r="B4" s="5" t="inlineStr">
        <is>
          <t>Won #</t>
        </is>
      </c>
      <c r="C4" s="5" t="inlineStr">
        <is>
          <t>Won TCV (GBP)</t>
        </is>
      </c>
      <c r="D4" s="5" t="inlineStr">
        <is>
          <t>Won ACV (GBP)</t>
        </is>
      </c>
      <c r="E4" s="5" t="inlineStr">
        <is>
          <t>Lost #</t>
        </is>
      </c>
      <c r="F4" s="5" t="inlineStr">
        <is>
          <t>Lost TCV (GBP)</t>
        </is>
      </c>
      <c r="G4" s="5" t="inlineStr">
        <is>
          <t>Quota (GBP)</t>
        </is>
      </c>
      <c r="H4" s="5" t="inlineStr">
        <is>
          <t>Attainment (ACV/Quota)</t>
        </is>
      </c>
      <c r="I4" s="5" t="inlineStr">
        <is>
          <t>Win rate (count)</t>
        </is>
      </c>
    </row>
    <row r="5">
      <c r="A5" s="6" t="inlineStr">
        <is>
          <t>2023</t>
        </is>
      </c>
      <c r="B5" s="7" t="n">
        <v>21</v>
      </c>
      <c r="C5" s="7" t="n">
        <v>123719.03</v>
      </c>
      <c r="D5" s="7" t="n">
        <v>119852.91</v>
      </c>
      <c r="E5" s="7" t="n">
        <v>132</v>
      </c>
      <c r="F5" s="7" t="n">
        <v>699477.16</v>
      </c>
      <c r="G5" s="7" t="n">
        <v>84000</v>
      </c>
      <c r="H5" s="8">
        <f>D5/G5</f>
        <v/>
      </c>
      <c r="I5" s="8">
        <f>B5/(B5+E5)</f>
        <v/>
      </c>
    </row>
    <row r="6">
      <c r="A6" s="6" t="inlineStr">
        <is>
          <t>2024</t>
        </is>
      </c>
      <c r="B6" s="7" t="n">
        <v>36</v>
      </c>
      <c r="C6" s="7" t="n">
        <v>358954.19</v>
      </c>
      <c r="D6" s="7" t="n">
        <v>313211.42</v>
      </c>
      <c r="E6" s="7" t="n">
        <v>138</v>
      </c>
      <c r="F6" s="7" t="n">
        <v>879176.89</v>
      </c>
      <c r="G6" s="7" t="n">
        <v>204000</v>
      </c>
      <c r="H6" s="8">
        <f>D6/G6</f>
        <v/>
      </c>
      <c r="I6" s="8">
        <f>B6/(B6+E6)</f>
        <v/>
      </c>
    </row>
    <row r="7">
      <c r="A7" s="6" t="inlineStr">
        <is>
          <t>2025</t>
        </is>
      </c>
      <c r="B7" s="7" t="n">
        <v>29</v>
      </c>
      <c r="C7" s="7" t="n">
        <v>326196.92</v>
      </c>
      <c r="D7" s="7" t="n">
        <v>303054.18</v>
      </c>
      <c r="E7" s="7" t="n">
        <v>111</v>
      </c>
      <c r="F7" s="7" t="n">
        <v>1077094.63</v>
      </c>
      <c r="G7" s="7" t="n">
        <v>201200</v>
      </c>
      <c r="H7" s="8">
        <f>D7/G7</f>
        <v/>
      </c>
      <c r="I7" s="8">
        <f>B7/(B7+E7)</f>
        <v/>
      </c>
    </row>
    <row r="8">
      <c r="A8" s="6" t="inlineStr">
        <is>
          <t>2026</t>
        </is>
      </c>
      <c r="B8" s="7" t="n">
        <v>11</v>
      </c>
      <c r="C8" s="7" t="n">
        <v>98715.25999999999</v>
      </c>
      <c r="D8" s="7" t="n">
        <v>113715.26</v>
      </c>
      <c r="E8" s="7" t="n">
        <v>64</v>
      </c>
      <c r="F8" s="7" t="n">
        <v>655120.78</v>
      </c>
      <c r="G8" s="9" t="inlineStr">
        <is>
          <t>n/a (not loaded)</t>
        </is>
      </c>
      <c r="H8" s="9" t="inlineStr">
        <is>
          <t>n/a</t>
        </is>
      </c>
      <c r="I8" s="8">
        <f>B8/(B8+E8)</f>
        <v/>
      </c>
    </row>
    <row r="9">
      <c r="A9" s="10" t="inlineStr">
        <is>
          <t>TOTAL / lifetime</t>
        </is>
      </c>
      <c r="B9" s="11">
        <f>SUM(B5:B8)</f>
        <v/>
      </c>
      <c r="C9" s="11">
        <f>SUM(C5:C8)</f>
        <v/>
      </c>
      <c r="D9" s="11">
        <f>SUM(D5:D8)</f>
        <v/>
      </c>
      <c r="E9" s="11">
        <f>SUM(E5:E8)</f>
        <v/>
      </c>
      <c r="F9" s="11">
        <f>SUM(F5:F8)</f>
        <v/>
      </c>
      <c r="G9" s="10" t="inlineStr"/>
      <c r="H9" s="10" t="inlineStr"/>
      <c r="I9" s="12">
        <f>B9/(B9+E9)</f>
        <v/>
      </c>
    </row>
    <row r="11">
      <c r="A11" s="4" t="inlineStr">
        <is>
          <t>FY26 is partial (H1, to 24 Jun). 2023 quota covers 6-mo ramp; 2025 quota = 9 months loaded. Quota deduplicated from 3 mirrored ForecastingQuota types.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8" customWidth="1" min="3" max="3"/>
    <col width="16" customWidth="1" min="4" max="4"/>
    <col width="8" customWidth="1" min="5" max="5"/>
    <col width="16" customWidth="1" min="6" max="6"/>
    <col width="13" customWidth="1" min="7" max="7"/>
    <col width="15" customWidth="1" min="8" max="8"/>
    <col width="15" customWidth="1" min="9" max="9"/>
    <col width="18" customWidth="1" min="10" max="10"/>
  </cols>
  <sheetData>
    <row r="1">
      <c r="A1" s="1" t="inlineStr">
        <is>
          <t>B. Win Rate &amp; Cohort Ranking (New Business, all-time closed)</t>
        </is>
      </c>
    </row>
    <row r="2">
      <c r="A2" s="4" t="inlineStr">
        <is>
          <t>Cohort = comparable NB carriers. Decision-adjusted = Won / (Won + losses carrying a coded primary reason).</t>
        </is>
      </c>
    </row>
    <row r="4">
      <c r="A4" s="5" t="inlineStr">
        <is>
          <t>Rep</t>
        </is>
      </c>
      <c r="B4" s="5" t="inlineStr">
        <is>
          <t>Tenure (yr)</t>
        </is>
      </c>
      <c r="C4" s="5" t="inlineStr">
        <is>
          <t>Won #</t>
        </is>
      </c>
      <c r="D4" s="5" t="inlineStr">
        <is>
          <t>Won ACV (GBP)</t>
        </is>
      </c>
      <c r="E4" s="5" t="inlineStr">
        <is>
          <t>Lost #</t>
        </is>
      </c>
      <c r="F4" s="5" t="inlineStr">
        <is>
          <t>Lost ACV (GBP)</t>
        </is>
      </c>
      <c r="G4" s="5" t="inlineStr">
        <is>
          <t>Coded losses #</t>
        </is>
      </c>
      <c r="H4" s="5" t="inlineStr">
        <is>
          <t>Win rate (count)</t>
        </is>
      </c>
      <c r="I4" s="5" t="inlineStr">
        <is>
          <t>Win rate (value)</t>
        </is>
      </c>
      <c r="J4" s="5" t="inlineStr">
        <is>
          <t>Win rate (decision-adj)</t>
        </is>
      </c>
    </row>
    <row r="5">
      <c r="A5" s="13" t="inlineStr">
        <is>
          <t>Emlyn James (subject)</t>
        </is>
      </c>
      <c r="B5" s="14" t="n">
        <v>3.47</v>
      </c>
      <c r="C5" s="15" t="n">
        <v>97</v>
      </c>
      <c r="D5" s="15" t="n">
        <v>849833.77</v>
      </c>
      <c r="E5" s="15" t="n">
        <v>444</v>
      </c>
      <c r="F5" s="15" t="n">
        <v>3017598.82</v>
      </c>
      <c r="G5" s="15" t="n">
        <v>188</v>
      </c>
      <c r="H5" s="16">
        <f>C5/(C5+E5)</f>
        <v/>
      </c>
      <c r="I5" s="16">
        <f>D5/(D5+F5)</f>
        <v/>
      </c>
      <c r="J5" s="16">
        <f>C5/(C5+G5)</f>
        <v/>
      </c>
    </row>
    <row r="6">
      <c r="A6" s="17" t="inlineStr">
        <is>
          <t>Sam Tucker (peer TL)</t>
        </is>
      </c>
      <c r="B6" s="18" t="n">
        <v>3.68</v>
      </c>
      <c r="C6" s="7" t="n">
        <v>114</v>
      </c>
      <c r="D6" s="7" t="n">
        <v>894090.8199999999</v>
      </c>
      <c r="E6" s="7" t="n">
        <v>533</v>
      </c>
      <c r="F6" s="7" t="n">
        <v>3744408.16</v>
      </c>
      <c r="G6" s="7" t="n">
        <v>224</v>
      </c>
      <c r="H6" s="8">
        <f>C6/(C6+E6)</f>
        <v/>
      </c>
      <c r="I6" s="8">
        <f>D6/(D6+F6)</f>
        <v/>
      </c>
      <c r="J6" s="8">
        <f>C6/(C6+G6)</f>
        <v/>
      </c>
    </row>
    <row r="7">
      <c r="A7" s="17" t="inlineStr">
        <is>
          <t>George Stone-Sobol (report)</t>
        </is>
      </c>
      <c r="B7" s="18" t="n">
        <v>2.48</v>
      </c>
      <c r="C7" s="7" t="n">
        <v>37</v>
      </c>
      <c r="D7" s="7" t="n">
        <v>387039.41</v>
      </c>
      <c r="E7" s="7" t="n">
        <v>253</v>
      </c>
      <c r="F7" s="7" t="n">
        <v>1758098.65</v>
      </c>
      <c r="G7" s="7" t="n">
        <v>165</v>
      </c>
      <c r="H7" s="8">
        <f>C7/(C7+E7)</f>
        <v/>
      </c>
      <c r="I7" s="8">
        <f>D7/(D7+F7)</f>
        <v/>
      </c>
      <c r="J7" s="8">
        <f>C7/(C7+G7)</f>
        <v/>
      </c>
    </row>
    <row r="8">
      <c r="A8" s="17" t="inlineStr">
        <is>
          <t>Jake Murray-Price</t>
        </is>
      </c>
      <c r="B8" s="18" t="n">
        <v>3.18</v>
      </c>
      <c r="C8" s="7" t="n">
        <v>41</v>
      </c>
      <c r="D8" s="7" t="n">
        <v>348474.78</v>
      </c>
      <c r="E8" s="7" t="n">
        <v>395</v>
      </c>
      <c r="F8" s="7" t="n">
        <v>2753304.83</v>
      </c>
      <c r="G8" s="7" t="n">
        <v>210</v>
      </c>
      <c r="H8" s="8">
        <f>C8/(C8+E8)</f>
        <v/>
      </c>
      <c r="I8" s="8">
        <f>D8/(D8+F8)</f>
        <v/>
      </c>
      <c r="J8" s="8">
        <f>C8/(C8+G8)</f>
        <v/>
      </c>
    </row>
    <row r="9">
      <c r="A9" s="17" t="inlineStr">
        <is>
          <t>Jacob Johnston (report)</t>
        </is>
      </c>
      <c r="B9" s="18" t="n">
        <v>1.21</v>
      </c>
      <c r="C9" s="7" t="n">
        <v>12</v>
      </c>
      <c r="D9" s="7" t="n">
        <v>111639.93</v>
      </c>
      <c r="E9" s="7" t="n">
        <v>79</v>
      </c>
      <c r="F9" s="7" t="n">
        <v>588268.28</v>
      </c>
      <c r="G9" s="7" t="n">
        <v>79</v>
      </c>
      <c r="H9" s="8">
        <f>C9/(C9+E9)</f>
        <v/>
      </c>
      <c r="I9" s="8">
        <f>D9/(D9+F9)</f>
        <v/>
      </c>
      <c r="J9" s="8">
        <f>C9/(C9+G9)</f>
        <v/>
      </c>
    </row>
    <row r="10">
      <c r="A10" s="17" t="inlineStr">
        <is>
          <t>Alex Mbonu</t>
        </is>
      </c>
      <c r="B10" s="18" t="n">
        <v>1.79</v>
      </c>
      <c r="C10" s="7" t="n">
        <v>2</v>
      </c>
      <c r="D10" s="7" t="n">
        <v>42072.31</v>
      </c>
      <c r="E10" s="7" t="n">
        <v>65</v>
      </c>
      <c r="F10" s="7" t="n">
        <v>493948.5</v>
      </c>
      <c r="G10" s="9" t="inlineStr">
        <is>
          <t>n/a</t>
        </is>
      </c>
      <c r="H10" s="8">
        <f>C10/(C10+E10)</f>
        <v/>
      </c>
      <c r="I10" s="8">
        <f>D10/(D10+F10)</f>
        <v/>
      </c>
      <c r="J10" s="9" t="inlineStr">
        <is>
          <t>n/a</t>
        </is>
      </c>
    </row>
    <row r="11">
      <c r="A11" s="17" t="inlineStr">
        <is>
          <t>Murtaza Khan</t>
        </is>
      </c>
      <c r="B11" s="18" t="n">
        <v>1.21</v>
      </c>
      <c r="C11" s="7" t="n">
        <v>1</v>
      </c>
      <c r="D11" s="7" t="n">
        <v>6958.34</v>
      </c>
      <c r="E11" s="7" t="n">
        <v>18</v>
      </c>
      <c r="F11" s="7" t="n">
        <v>160210.77</v>
      </c>
      <c r="G11" s="9" t="inlineStr">
        <is>
          <t>n/a</t>
        </is>
      </c>
      <c r="H11" s="8">
        <f>C11/(C11+E11)</f>
        <v/>
      </c>
      <c r="I11" s="8">
        <f>D11/(D11+F11)</f>
        <v/>
      </c>
      <c r="J11" s="9" t="inlineStr">
        <is>
          <t>n/a</t>
        </is>
      </c>
    </row>
    <row r="13">
      <c r="A13" s="4" t="inlineStr">
        <is>
          <t>Emlyn ranks #1 on win rate by count and by value, and on decision-adjusted (~34%). Value-rate&gt;count-rate =&gt; wins larger deals.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C. Sales Cycle, ASP &amp; Seats (won, New Business, all-time)</t>
        </is>
      </c>
    </row>
    <row r="2">
      <c r="A2" s="4" t="inlineStr">
        <is>
          <t>Cycle = Days_to_Closed_Won__c (validated = CreatedDate-&gt;CloseDate). Average is outlier-sensitive.</t>
        </is>
      </c>
    </row>
    <row r="4">
      <c r="A4" s="5" t="inlineStr">
        <is>
          <t>Rep</t>
        </is>
      </c>
      <c r="B4" s="5" t="inlineStr">
        <is>
          <t>Won #</t>
        </is>
      </c>
      <c r="C4" s="5" t="inlineStr">
        <is>
          <t>Avg cycle (days)</t>
        </is>
      </c>
      <c r="D4" s="5" t="inlineStr">
        <is>
          <t>ASP - Amount_GBP (GBP)</t>
        </is>
      </c>
      <c r="E4" s="5" t="inlineStr">
        <is>
          <t>Avg seats / deal</t>
        </is>
      </c>
    </row>
    <row r="5">
      <c r="A5" s="13" t="inlineStr">
        <is>
          <t>Emlyn James (subject)</t>
        </is>
      </c>
      <c r="B5" s="15" t="n">
        <v>97</v>
      </c>
      <c r="C5" s="14" t="n">
        <v>78.7</v>
      </c>
      <c r="D5" s="15" t="n">
        <v>9356.549999999999</v>
      </c>
      <c r="E5" s="14" t="n">
        <v>6</v>
      </c>
    </row>
    <row r="6">
      <c r="A6" s="17" t="inlineStr">
        <is>
          <t>Sam Tucker</t>
        </is>
      </c>
      <c r="B6" s="7" t="n">
        <v>114</v>
      </c>
      <c r="C6" s="18" t="n">
        <v>36.8</v>
      </c>
      <c r="D6" s="7" t="n">
        <v>7940.18</v>
      </c>
      <c r="E6" s="18" t="n">
        <v>4.3</v>
      </c>
    </row>
    <row r="7">
      <c r="A7" s="17" t="inlineStr">
        <is>
          <t>Jake Murray-Price</t>
        </is>
      </c>
      <c r="B7" s="7" t="n">
        <v>41</v>
      </c>
      <c r="C7" s="18" t="n">
        <v>31.5</v>
      </c>
      <c r="D7" s="7" t="n">
        <v>8625.57</v>
      </c>
      <c r="E7" s="18" t="n">
        <v>5.1</v>
      </c>
    </row>
    <row r="8">
      <c r="A8" s="17" t="inlineStr">
        <is>
          <t>George Stone-Sobol</t>
        </is>
      </c>
      <c r="B8" s="7" t="n">
        <v>37</v>
      </c>
      <c r="C8" s="18" t="n">
        <v>74.90000000000001</v>
      </c>
      <c r="D8" s="7" t="n">
        <v>10519.16</v>
      </c>
      <c r="E8" s="18" t="n">
        <v>4.4</v>
      </c>
    </row>
    <row r="9">
      <c r="A9" s="17" t="inlineStr">
        <is>
          <t>Jacob Johnston</t>
        </is>
      </c>
      <c r="B9" s="7" t="n">
        <v>12</v>
      </c>
      <c r="C9" s="18" t="n">
        <v>60.1</v>
      </c>
      <c r="D9" s="7" t="n">
        <v>9611.379999999999</v>
      </c>
      <c r="E9" s="9" t="inlineStr">
        <is>
          <t>n/a</t>
        </is>
      </c>
    </row>
    <row r="10">
      <c r="A10" s="17" t="inlineStr">
        <is>
          <t>Alex Mbonu</t>
        </is>
      </c>
      <c r="B10" s="7" t="n">
        <v>2</v>
      </c>
      <c r="C10" s="18" t="n">
        <v>54.5</v>
      </c>
      <c r="D10" s="7" t="n">
        <v>14097.66</v>
      </c>
      <c r="E10" s="18" t="n">
        <v>1</v>
      </c>
    </row>
    <row r="11">
      <c r="A11" s="17" t="inlineStr">
        <is>
          <t>Murtaza Khan</t>
        </is>
      </c>
      <c r="B11" s="7" t="n">
        <v>1</v>
      </c>
      <c r="C11" s="18" t="n">
        <v>19</v>
      </c>
      <c r="D11" s="7" t="n">
        <v>6958.34</v>
      </c>
      <c r="E11" s="9" t="inlineStr">
        <is>
          <t>n/a</t>
        </is>
      </c>
    </row>
    <row r="13">
      <c r="A13" s="4" t="inlineStr">
        <is>
          <t>Emlyn: highest ASP &amp; seats among volume reps, but longest cycle (~2x Sam/Jake).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6" customWidth="1" min="4" max="4"/>
    <col width="11" customWidth="1" min="5" max="5"/>
    <col width="14" customWidth="1" min="6" max="6"/>
    <col width="12" customWidth="1" min="7" max="7"/>
  </cols>
  <sheetData>
    <row r="1">
      <c r="A1" s="1" t="inlineStr">
        <is>
          <t>D. Open Pipeline, Coverage &amp; Forecast Discipline (NB, CloseDate &gt;= today)</t>
        </is>
      </c>
    </row>
    <row r="2">
      <c r="A2" s="4" t="inlineStr">
        <is>
          <t>Expected = Expected_Revenue_GBP__c (probability-weighted). Pushes = avg Push_Counter__c. DQ = Data_Quality_Score__c.</t>
        </is>
      </c>
    </row>
    <row r="4">
      <c r="A4" s="5" t="inlineStr">
        <is>
          <t>Rep</t>
        </is>
      </c>
      <c r="B4" s="5" t="inlineStr">
        <is>
          <t>Open #</t>
        </is>
      </c>
      <c r="C4" s="5" t="inlineStr">
        <is>
          <t>Open ACV (GBP)</t>
        </is>
      </c>
      <c r="D4" s="5" t="inlineStr">
        <is>
          <t>Expected Rev (GBP)</t>
        </is>
      </c>
      <c r="E4" s="5" t="inlineStr">
        <is>
          <t>Avg pushes</t>
        </is>
      </c>
      <c r="F4" s="5" t="inlineStr">
        <is>
          <t>Avg age (days)</t>
        </is>
      </c>
      <c r="G4" s="5" t="inlineStr">
        <is>
          <t>Avg DQ score</t>
        </is>
      </c>
    </row>
    <row r="5">
      <c r="A5" s="13" t="inlineStr">
        <is>
          <t>Emlyn James (subject)</t>
        </is>
      </c>
      <c r="B5" s="15" t="n">
        <v>26</v>
      </c>
      <c r="C5" s="15" t="n">
        <v>206358.07</v>
      </c>
      <c r="D5" s="15" t="n">
        <v>69964.13</v>
      </c>
      <c r="E5" s="14" t="n">
        <v>2.37</v>
      </c>
      <c r="F5" s="14" t="n">
        <v>117.3</v>
      </c>
      <c r="G5" s="14" t="n">
        <v>92.3</v>
      </c>
    </row>
    <row r="6">
      <c r="A6" s="17" t="inlineStr">
        <is>
          <t>Sam Tucker</t>
        </is>
      </c>
      <c r="B6" s="7" t="n">
        <v>34</v>
      </c>
      <c r="C6" s="7" t="n">
        <v>396070.7</v>
      </c>
      <c r="D6" s="7" t="n">
        <v>147972.12</v>
      </c>
      <c r="E6" s="18" t="n">
        <v>2.97</v>
      </c>
      <c r="F6" s="18" t="n">
        <v>72.90000000000001</v>
      </c>
      <c r="G6" s="18" t="n">
        <v>100</v>
      </c>
    </row>
    <row r="7">
      <c r="A7" s="17" t="inlineStr">
        <is>
          <t>Jake Murray-Price</t>
        </is>
      </c>
      <c r="B7" s="7" t="n">
        <v>26</v>
      </c>
      <c r="C7" s="7" t="n">
        <v>339658.57</v>
      </c>
      <c r="D7" s="7" t="n">
        <v>86771.78999999999</v>
      </c>
      <c r="E7" s="18" t="n">
        <v>2.33</v>
      </c>
      <c r="F7" s="18" t="n">
        <v>111.6</v>
      </c>
      <c r="G7" s="18" t="n">
        <v>90.8</v>
      </c>
    </row>
    <row r="8">
      <c r="A8" s="17" t="inlineStr">
        <is>
          <t>George Stone-Sobol (report)</t>
        </is>
      </c>
      <c r="B8" s="7" t="n">
        <v>51</v>
      </c>
      <c r="C8" s="7" t="n">
        <v>810361.52</v>
      </c>
      <c r="D8" s="7" t="n">
        <v>486304.13</v>
      </c>
      <c r="E8" s="18" t="n">
        <v>2.84</v>
      </c>
      <c r="F8" s="18" t="n">
        <v>130.2</v>
      </c>
      <c r="G8" s="18" t="n">
        <v>84.7</v>
      </c>
    </row>
    <row r="9">
      <c r="A9" s="17" t="inlineStr">
        <is>
          <t>Jacob Johnston (report)</t>
        </is>
      </c>
      <c r="B9" s="7" t="n">
        <v>58</v>
      </c>
      <c r="C9" s="7" t="n">
        <v>497347.86</v>
      </c>
      <c r="D9" s="7" t="n">
        <v>186492.94</v>
      </c>
      <c r="E9" s="18" t="n">
        <v>2.19</v>
      </c>
      <c r="F9" s="18" t="n">
        <v>128.7</v>
      </c>
      <c r="G9" s="18" t="n">
        <v>98.3</v>
      </c>
    </row>
    <row r="11">
      <c r="A11" s="4" t="inlineStr">
        <is>
          <t>Emlyn's personal open pipeline is the thinnest of the senior carriers; his reports carry the bulk of the pod's forward book.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6" customWidth="1" min="3" max="3"/>
    <col width="14" customWidth="1" min="4" max="4"/>
  </cols>
  <sheetData>
    <row r="1">
      <c r="A1" s="1" t="inlineStr">
        <is>
          <t>E. Deal Economics &amp; Sourcing (Emlyn, won deals)</t>
        </is>
      </c>
    </row>
    <row r="2">
      <c r="A2" s="4" t="inlineStr">
        <is>
          <t>Self-sourced = LeadSource starting 'Self-Sourced'. Multi-year mix negligible (deals ~all 12-month).</t>
        </is>
      </c>
    </row>
    <row r="4">
      <c r="A4" s="5" t="inlineStr">
        <is>
          <t>LeadSource</t>
        </is>
      </c>
      <c r="B4" s="5" t="inlineStr">
        <is>
          <t>Won #</t>
        </is>
      </c>
      <c r="C4" s="5" t="inlineStr">
        <is>
          <t>Won ACV (GBP)</t>
        </is>
      </c>
      <c r="D4" s="5" t="inlineStr">
        <is>
          <t>Self-sourced?</t>
        </is>
      </c>
    </row>
    <row r="5">
      <c r="A5" s="17" t="inlineStr">
        <is>
          <t>Self-Sourced - Sales</t>
        </is>
      </c>
      <c r="B5" s="7" t="n">
        <v>47</v>
      </c>
      <c r="C5" s="7" t="n">
        <v>441489.29</v>
      </c>
      <c r="D5" s="19" t="inlineStr">
        <is>
          <t>Yes</t>
        </is>
      </c>
    </row>
    <row r="6">
      <c r="A6" s="17" t="inlineStr">
        <is>
          <t>Form Completion</t>
        </is>
      </c>
      <c r="B6" s="7" t="n">
        <v>20</v>
      </c>
      <c r="C6" s="7" t="n">
        <v>149965.72</v>
      </c>
      <c r="D6" s="19" t="inlineStr">
        <is>
          <t>No</t>
        </is>
      </c>
    </row>
    <row r="7">
      <c r="A7" s="17" t="inlineStr">
        <is>
          <t>Self-Sourced - Cognism Leads</t>
        </is>
      </c>
      <c r="B7" s="7" t="n">
        <v>16</v>
      </c>
      <c r="C7" s="7" t="n">
        <v>141927.48</v>
      </c>
      <c r="D7" s="19" t="inlineStr">
        <is>
          <t>Yes</t>
        </is>
      </c>
    </row>
    <row r="8">
      <c r="A8" s="17" t="inlineStr">
        <is>
          <t>Direct Enquiry</t>
        </is>
      </c>
      <c r="B8" s="7" t="n">
        <v>5</v>
      </c>
      <c r="C8" s="7" t="n">
        <v>25092.96</v>
      </c>
      <c r="D8" s="19" t="inlineStr">
        <is>
          <t>No</t>
        </is>
      </c>
    </row>
    <row r="9">
      <c r="A9" s="17" t="inlineStr">
        <is>
          <t>Referral (External)</t>
        </is>
      </c>
      <c r="B9" s="7" t="n">
        <v>3</v>
      </c>
      <c r="C9" s="7" t="n">
        <v>27041.73</v>
      </c>
      <c r="D9" s="19" t="inlineStr">
        <is>
          <t>No</t>
        </is>
      </c>
    </row>
    <row r="10">
      <c r="A10" s="17" t="inlineStr">
        <is>
          <t>Self-Sourced - Data Leads</t>
        </is>
      </c>
      <c r="B10" s="7" t="n">
        <v>2</v>
      </c>
      <c r="C10" s="7" t="n">
        <v>20100</v>
      </c>
      <c r="D10" s="19" t="inlineStr">
        <is>
          <t>Yes</t>
        </is>
      </c>
    </row>
    <row r="11">
      <c r="A11" s="17" t="inlineStr">
        <is>
          <t>Lexology Newsfeed</t>
        </is>
      </c>
      <c r="B11" s="7" t="n">
        <v>1</v>
      </c>
      <c r="C11" s="7" t="n">
        <v>8642.65</v>
      </c>
      <c r="D11" s="19" t="inlineStr">
        <is>
          <t>No</t>
        </is>
      </c>
    </row>
    <row r="12">
      <c r="A12" s="17" t="inlineStr">
        <is>
          <t>Referral</t>
        </is>
      </c>
      <c r="B12" s="7" t="n">
        <v>1</v>
      </c>
      <c r="C12" s="7" t="n">
        <v>20014.56</v>
      </c>
      <c r="D12" s="19" t="inlineStr">
        <is>
          <t>No</t>
        </is>
      </c>
    </row>
    <row r="13">
      <c r="A13" s="17" t="inlineStr">
        <is>
          <t>Cognism - Marketing</t>
        </is>
      </c>
      <c r="B13" s="7" t="n">
        <v>1</v>
      </c>
      <c r="C13" s="7" t="n">
        <v>10959.38</v>
      </c>
      <c r="D13" s="19" t="inlineStr">
        <is>
          <t>No</t>
        </is>
      </c>
    </row>
    <row r="14">
      <c r="A14" s="17" t="inlineStr">
        <is>
          <t>Event (Internal)</t>
        </is>
      </c>
      <c r="B14" s="7" t="n">
        <v>1</v>
      </c>
      <c r="C14" s="7" t="n">
        <v>4600</v>
      </c>
      <c r="D14" s="19" t="inlineStr">
        <is>
          <t>No</t>
        </is>
      </c>
    </row>
    <row r="15">
      <c r="A15" s="10" t="inlineStr">
        <is>
          <t>TOTAL</t>
        </is>
      </c>
      <c r="B15" s="11">
        <f>SUM(B5:B14)</f>
        <v/>
      </c>
      <c r="C15" s="11">
        <f>SUM(C5:C14)</f>
        <v/>
      </c>
      <c r="D15" s="20" t="n"/>
    </row>
    <row r="17">
      <c r="A17" s="6" t="inlineStr">
        <is>
          <t>Self-sourced won # (SUMIF)</t>
        </is>
      </c>
      <c r="B17" s="21">
        <f>SUMIF(D5:D14,"Yes",B5:B14)</f>
        <v/>
      </c>
    </row>
    <row r="18">
      <c r="A18" s="6" t="inlineStr">
        <is>
          <t>Self-sourced ACV (SUMIF)</t>
        </is>
      </c>
      <c r="B18" s="21">
        <f>SUMIF(D5:D14,"Yes",C5:C14)</f>
        <v/>
      </c>
    </row>
    <row r="19">
      <c r="A19" s="6" t="inlineStr">
        <is>
          <t>Self-sourced % (count)</t>
        </is>
      </c>
      <c r="B19" s="8">
        <f>B17/B15</f>
        <v/>
      </c>
    </row>
    <row r="20">
      <c r="A20" s="6" t="inlineStr">
        <is>
          <t>Self-sourced % (ACV)</t>
        </is>
      </c>
      <c r="B20" s="8">
        <f>B18/C15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8" customWidth="1" min="4" max="4"/>
  </cols>
  <sheetData>
    <row r="1">
      <c r="A1" s="1" t="inlineStr">
        <is>
          <t>F. Loss Analysis (Emlyn, closed-lost, Closed_Lost_primary_reason__c)</t>
        </is>
      </c>
    </row>
    <row r="2">
      <c r="A2" s="4" t="inlineStr">
        <is>
          <t>445 closed-lost; 256 (57%) uncoded. Loss_Reason__c 100% null org-wide. Controllability is judgement-based.</t>
        </is>
      </c>
    </row>
    <row r="4">
      <c r="A4" s="5" t="inlineStr">
        <is>
          <t>Primary loss reason</t>
        </is>
      </c>
      <c r="B4" s="5" t="inlineStr">
        <is>
          <t>Lost #</t>
        </is>
      </c>
      <c r="C4" s="5" t="inlineStr">
        <is>
          <t>% of coded</t>
        </is>
      </c>
      <c r="D4" s="5" t="inlineStr">
        <is>
          <t>Controllability</t>
        </is>
      </c>
    </row>
    <row r="5">
      <c r="A5" s="17" t="inlineStr">
        <is>
          <t>Client engagement issue</t>
        </is>
      </c>
      <c r="B5" s="7" t="n">
        <v>67</v>
      </c>
      <c r="C5" s="8">
        <f>B5/$B$13</f>
        <v/>
      </c>
      <c r="D5" s="17" t="inlineStr">
        <is>
          <t>Controllable</t>
        </is>
      </c>
    </row>
    <row r="6">
      <c r="A6" s="17" t="inlineStr">
        <is>
          <t>Lack of ROI</t>
        </is>
      </c>
      <c r="B6" s="7" t="n">
        <v>36</v>
      </c>
      <c r="C6" s="8">
        <f>B6/$B$13</f>
        <v/>
      </c>
      <c r="D6" s="17" t="inlineStr">
        <is>
          <t>Semi (value-sell)</t>
        </is>
      </c>
    </row>
    <row r="7">
      <c r="A7" s="17" t="inlineStr">
        <is>
          <t>Budget issues</t>
        </is>
      </c>
      <c r="B7" s="7" t="n">
        <v>30</v>
      </c>
      <c r="C7" s="8">
        <f>B7/$B$13</f>
        <v/>
      </c>
      <c r="D7" s="17" t="inlineStr">
        <is>
          <t>Low</t>
        </is>
      </c>
    </row>
    <row r="8">
      <c r="A8" s="17" t="inlineStr">
        <is>
          <t>Buyer issues</t>
        </is>
      </c>
      <c r="B8" s="7" t="n">
        <v>30</v>
      </c>
      <c r="C8" s="8">
        <f>B8/$B$13</f>
        <v/>
      </c>
      <c r="D8" s="17" t="inlineStr">
        <is>
          <t>Low</t>
        </is>
      </c>
    </row>
    <row r="9">
      <c r="A9" s="17" t="inlineStr">
        <is>
          <t>Client chose competitor</t>
        </is>
      </c>
      <c r="B9" s="7" t="n">
        <v>12</v>
      </c>
      <c r="C9" s="8">
        <f>B9/$B$13</f>
        <v/>
      </c>
      <c r="D9" s="17" t="inlineStr">
        <is>
          <t>Controllable</t>
        </is>
      </c>
    </row>
    <row r="10">
      <c r="A10" s="17" t="inlineStr">
        <is>
          <t>Content issues</t>
        </is>
      </c>
      <c r="B10" s="7" t="n">
        <v>8</v>
      </c>
      <c r="C10" s="8">
        <f>B10/$B$13</f>
        <v/>
      </c>
      <c r="D10" s="17" t="inlineStr">
        <is>
          <t>Product/content</t>
        </is>
      </c>
    </row>
    <row r="11">
      <c r="A11" s="17" t="inlineStr">
        <is>
          <t>No fault cancellation</t>
        </is>
      </c>
      <c r="B11" s="7" t="n">
        <v>5</v>
      </c>
      <c r="C11" s="8">
        <f>B11/$B$13</f>
        <v/>
      </c>
      <c r="D11" s="17" t="inlineStr">
        <is>
          <t>Uncontrollable</t>
        </is>
      </c>
    </row>
    <row r="12">
      <c r="A12" s="17" t="inlineStr">
        <is>
          <t>Product issues</t>
        </is>
      </c>
      <c r="B12" s="7" t="n">
        <v>1</v>
      </c>
      <c r="C12" s="8">
        <f>B12/$B$13</f>
        <v/>
      </c>
      <c r="D12" s="17" t="inlineStr">
        <is>
          <t>Uncontrollable</t>
        </is>
      </c>
    </row>
    <row r="13">
      <c r="A13" s="10" t="inlineStr">
        <is>
          <t>Coded total</t>
        </is>
      </c>
      <c r="B13" s="11">
        <f>SUM(B5:B12)</f>
        <v/>
      </c>
      <c r="C13" s="20" t="n"/>
      <c r="D13" s="20" t="n"/>
    </row>
    <row r="14">
      <c r="A14" s="17" t="inlineStr">
        <is>
          <t>Uncoded (null)</t>
        </is>
      </c>
      <c r="B14" s="7" t="n">
        <v>256</v>
      </c>
    </row>
    <row r="15">
      <c r="A15" s="6" t="inlineStr">
        <is>
          <t>All closed-lost</t>
        </is>
      </c>
      <c r="B15" s="22">
        <f>B13+B14</f>
        <v/>
      </c>
    </row>
    <row r="17">
      <c r="A17" s="4" t="inlineStr">
        <is>
          <t>#1 loss = 'Client engagement issue' (controllable) -&gt; coaching signal on follow-up cadence.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8" customWidth="1" min="4" max="4"/>
    <col width="16" customWidth="1" min="5" max="5"/>
  </cols>
  <sheetData>
    <row r="1">
      <c r="A1" s="1" t="inlineStr">
        <is>
          <t>G. Quarterly Trajectory (Emlyn IC, closed)</t>
        </is>
      </c>
    </row>
    <row r="2">
      <c r="A2" s="4" t="inlineStr">
        <is>
          <t>Calendar quarters. 2026 Q2 partial (to 24 Jun).</t>
        </is>
      </c>
    </row>
    <row r="4">
      <c r="A4" s="5" t="inlineStr">
        <is>
          <t>Quarter</t>
        </is>
      </c>
      <c r="B4" s="5" t="inlineStr">
        <is>
          <t>Won #</t>
        </is>
      </c>
      <c r="C4" s="5" t="inlineStr">
        <is>
          <t>Won ACV (GBP)</t>
        </is>
      </c>
      <c r="D4" s="5" t="inlineStr">
        <is>
          <t>Lost #</t>
        </is>
      </c>
      <c r="E4" s="5" t="inlineStr">
        <is>
          <t>Win rate (count)</t>
        </is>
      </c>
    </row>
    <row r="5">
      <c r="A5" s="17" t="inlineStr">
        <is>
          <t>2024 Q2</t>
        </is>
      </c>
      <c r="B5" s="7" t="n">
        <v>4</v>
      </c>
      <c r="C5" s="7" t="n">
        <v>25747.22</v>
      </c>
      <c r="D5" s="7" t="n">
        <v>16</v>
      </c>
      <c r="E5" s="8">
        <f>B5/(B5+D5)</f>
        <v/>
      </c>
    </row>
    <row r="6">
      <c r="A6" s="17" t="inlineStr">
        <is>
          <t>2024 Q3</t>
        </is>
      </c>
      <c r="B6" s="7" t="n">
        <v>9</v>
      </c>
      <c r="C6" s="7" t="n">
        <v>59242.12</v>
      </c>
      <c r="D6" s="7" t="n">
        <v>24</v>
      </c>
      <c r="E6" s="8">
        <f>B6/(B6+D6)</f>
        <v/>
      </c>
    </row>
    <row r="7">
      <c r="A7" s="17" t="inlineStr">
        <is>
          <t>2024 Q4</t>
        </is>
      </c>
      <c r="B7" s="7" t="n">
        <v>9</v>
      </c>
      <c r="C7" s="7" t="n">
        <v>113117.76</v>
      </c>
      <c r="D7" s="7" t="n">
        <v>42</v>
      </c>
      <c r="E7" s="8">
        <f>B7/(B7+D7)</f>
        <v/>
      </c>
    </row>
    <row r="8">
      <c r="A8" s="17" t="inlineStr">
        <is>
          <t>2025 Q1</t>
        </is>
      </c>
      <c r="B8" s="7" t="n">
        <v>4</v>
      </c>
      <c r="C8" s="7" t="n">
        <v>29151.09</v>
      </c>
      <c r="D8" s="7" t="n">
        <v>37</v>
      </c>
      <c r="E8" s="8">
        <f>B8/(B8+D8)</f>
        <v/>
      </c>
    </row>
    <row r="9">
      <c r="A9" s="17" t="inlineStr">
        <is>
          <t>2025 Q2</t>
        </is>
      </c>
      <c r="B9" s="7" t="n">
        <v>7</v>
      </c>
      <c r="C9" s="7" t="n">
        <v>55490.94</v>
      </c>
      <c r="D9" s="7" t="n">
        <v>13</v>
      </c>
      <c r="E9" s="8">
        <f>B9/(B9+D9)</f>
        <v/>
      </c>
    </row>
    <row r="10">
      <c r="A10" s="17" t="inlineStr">
        <is>
          <t>2025 Q3</t>
        </is>
      </c>
      <c r="B10" s="7" t="n">
        <v>7</v>
      </c>
      <c r="C10" s="7" t="n">
        <v>110435.29</v>
      </c>
      <c r="D10" s="7" t="n">
        <v>35</v>
      </c>
      <c r="E10" s="8">
        <f>B10/(B10+D10)</f>
        <v/>
      </c>
    </row>
    <row r="11">
      <c r="A11" s="17" t="inlineStr">
        <is>
          <t>2025 Q4</t>
        </is>
      </c>
      <c r="B11" s="7" t="n">
        <v>11</v>
      </c>
      <c r="C11" s="7" t="n">
        <v>107976.86</v>
      </c>
      <c r="D11" s="7" t="n">
        <v>26</v>
      </c>
      <c r="E11" s="8">
        <f>B11/(B11+D11)</f>
        <v/>
      </c>
    </row>
    <row r="12">
      <c r="A12" s="17" t="inlineStr">
        <is>
          <t>2026 Q1</t>
        </is>
      </c>
      <c r="B12" s="7" t="n">
        <v>6</v>
      </c>
      <c r="C12" s="7" t="n">
        <v>55415.4</v>
      </c>
      <c r="D12" s="7" t="n">
        <v>31</v>
      </c>
      <c r="E12" s="8">
        <f>B12/(B12+D12)</f>
        <v/>
      </c>
    </row>
    <row r="13">
      <c r="A13" s="17" t="inlineStr">
        <is>
          <t>2026 Q2*</t>
        </is>
      </c>
      <c r="B13" s="7" t="n">
        <v>5</v>
      </c>
      <c r="C13" s="7" t="n">
        <v>58299.86</v>
      </c>
      <c r="D13" s="7" t="n">
        <v>33</v>
      </c>
      <c r="E13" s="8">
        <f>B13/(B13+D13)</f>
        <v/>
      </c>
    </row>
    <row r="15">
      <c r="A15" s="4" t="inlineStr">
        <is>
          <t>FY26 H1 win rate ~15% (vs ~20% FY24-25); H1 ACV up YoY (114K vs 85K) - fewer but bigger wins.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8" customWidth="1" min="4" max="4"/>
    <col width="12" customWidth="1" min="5" max="5"/>
    <col width="14" customWidth="1" min="6" max="6"/>
    <col width="8" customWidth="1" min="7" max="7"/>
    <col width="16" customWidth="1" min="8" max="8"/>
    <col width="9" customWidth="1" min="9" max="9"/>
  </cols>
  <sheetData>
    <row r="1">
      <c r="A1" s="1" t="inlineStr">
        <is>
          <t>J. Team-Lead Contribution (direct reports via ManagerId)</t>
        </is>
      </c>
    </row>
    <row r="2">
      <c r="A2" s="4" t="inlineStr">
        <is>
          <t>Reported separately from Emlyn's IC numbers. Peer Sam Tucker leads 1 report (inactive) = effectively solo.</t>
        </is>
      </c>
    </row>
    <row r="4">
      <c r="A4" s="5" t="inlineStr">
        <is>
          <t>Report</t>
        </is>
      </c>
      <c r="B4" s="5" t="inlineStr">
        <is>
          <t>Tenure (yr)</t>
        </is>
      </c>
      <c r="C4" s="5" t="inlineStr">
        <is>
          <t>T12M won #</t>
        </is>
      </c>
      <c r="D4" s="5" t="inlineStr">
        <is>
          <t>T12M won ACV (GBP)</t>
        </is>
      </c>
      <c r="E4" s="5" t="inlineStr">
        <is>
          <t>T12M lost #</t>
        </is>
      </c>
      <c r="F4" s="5" t="inlineStr">
        <is>
          <t>T12M win rate</t>
        </is>
      </c>
      <c r="G4" s="5" t="inlineStr">
        <is>
          <t>Open #</t>
        </is>
      </c>
      <c r="H4" s="5" t="inlineStr">
        <is>
          <t>Open ACV (GBP)</t>
        </is>
      </c>
      <c r="I4" s="5" t="inlineStr">
        <is>
          <t>Open DQ</t>
        </is>
      </c>
    </row>
    <row r="5">
      <c r="A5" s="17" t="inlineStr">
        <is>
          <t>George Stone-Sobol</t>
        </is>
      </c>
      <c r="B5" s="18" t="n">
        <v>2.48</v>
      </c>
      <c r="C5" s="7" t="n">
        <v>16</v>
      </c>
      <c r="D5" s="7" t="n">
        <v>202594.28</v>
      </c>
      <c r="E5" s="7" t="n">
        <v>103</v>
      </c>
      <c r="F5" s="8">
        <f>C5/(C5+E5)</f>
        <v/>
      </c>
      <c r="G5" s="7" t="n">
        <v>51</v>
      </c>
      <c r="H5" s="7" t="n">
        <v>810361.52</v>
      </c>
      <c r="I5" s="18" t="n">
        <v>84.7</v>
      </c>
    </row>
    <row r="6">
      <c r="A6" s="17" t="inlineStr">
        <is>
          <t>Jacob Johnston</t>
        </is>
      </c>
      <c r="B6" s="18" t="n">
        <v>1.21</v>
      </c>
      <c r="C6" s="7" t="n">
        <v>11</v>
      </c>
      <c r="D6" s="7" t="n">
        <v>102942.01</v>
      </c>
      <c r="E6" s="7" t="n">
        <v>70</v>
      </c>
      <c r="F6" s="8">
        <f>C6/(C6+E6)</f>
        <v/>
      </c>
      <c r="G6" s="7" t="n">
        <v>58</v>
      </c>
      <c r="H6" s="7" t="n">
        <v>497347.86</v>
      </c>
      <c r="I6" s="18" t="n">
        <v>98.3</v>
      </c>
    </row>
    <row r="7">
      <c r="A7" s="10" t="inlineStr">
        <is>
          <t>Team total (reports)</t>
        </is>
      </c>
      <c r="B7" s="20" t="n"/>
      <c r="C7" s="11">
        <f>SUM(C5:C6)</f>
        <v/>
      </c>
      <c r="D7" s="11">
        <f>SUM(D5:D6)</f>
        <v/>
      </c>
      <c r="E7" s="11">
        <f>SUM(E5:E6)</f>
        <v/>
      </c>
      <c r="F7" s="12">
        <f>C7/(C7+E7)</f>
        <v/>
      </c>
      <c r="G7" s="11">
        <f>SUM(G5:G6)</f>
        <v/>
      </c>
      <c r="H7" s="11">
        <f>SUM(H5:H6)</f>
        <v/>
      </c>
      <c r="I7" s="20" t="n"/>
    </row>
    <row r="8">
      <c r="A8" s="17" t="inlineStr">
        <is>
          <t>+ Emlyn IC (T12M)</t>
        </is>
      </c>
      <c r="C8" s="7" t="n">
        <v>30</v>
      </c>
      <c r="D8" s="7" t="n">
        <v>358127.41</v>
      </c>
      <c r="E8" s="7" t="n">
        <v>124</v>
      </c>
      <c r="G8" s="7" t="n">
        <v>26</v>
      </c>
      <c r="H8" s="7" t="n">
        <v>206358.07</v>
      </c>
    </row>
    <row r="9">
      <c r="A9" s="13" t="inlineStr">
        <is>
          <t>POD total (Emlyn + reports)</t>
        </is>
      </c>
      <c r="B9" s="23" t="n"/>
      <c r="C9" s="24">
        <f>C7+C8</f>
        <v/>
      </c>
      <c r="D9" s="24">
        <f>D7+D8</f>
        <v/>
      </c>
      <c r="E9" s="24">
        <f>E7+E8</f>
        <v/>
      </c>
      <c r="F9" s="23" t="n"/>
      <c r="G9" s="24">
        <f>G7+G8</f>
        <v/>
      </c>
      <c r="H9" s="24">
        <f>H7+H8</f>
        <v/>
      </c>
      <c r="I9" s="23" t="n"/>
    </row>
    <row r="11">
      <c r="A11" s="4" t="inlineStr">
        <is>
          <t>Both reports at/above cohort win-rate median (13.2%). Leadership causality unproven (n=2, no pre/post).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</cols>
  <sheetData>
    <row r="1">
      <c r="A1" s="1" t="inlineStr">
        <is>
          <t>H. Stage Funnel Leakage (OpportunityHistory; distinct NB opps reaching each stage)</t>
        </is>
      </c>
    </row>
    <row r="2">
      <c r="A2" s="4" t="inlineStr">
        <is>
          <t>Legacy renames: Evaluation/Evaluate; legacy 'Close'. Clean spine = Identify -&gt; Qualify -&gt; Closed Won.</t>
        </is>
      </c>
    </row>
    <row r="4">
      <c r="A4" s="5" t="inlineStr">
        <is>
          <t>Stage</t>
        </is>
      </c>
      <c r="B4" s="5" t="inlineStr">
        <is>
          <t>Emlyn — opps reached</t>
        </is>
      </c>
      <c r="C4" s="5" t="inlineStr">
        <is>
          <t>Sam Tucker — opps reached</t>
        </is>
      </c>
    </row>
    <row r="5">
      <c r="A5" s="13" t="inlineStr">
        <is>
          <t>Identify</t>
        </is>
      </c>
      <c r="B5" s="15" t="n">
        <v>558</v>
      </c>
      <c r="C5" s="15" t="n">
        <v>661</v>
      </c>
    </row>
    <row r="6">
      <c r="A6" s="13" t="inlineStr">
        <is>
          <t>Qualify</t>
        </is>
      </c>
      <c r="B6" s="15" t="n">
        <v>317</v>
      </c>
      <c r="C6" s="15" t="n">
        <v>429</v>
      </c>
    </row>
    <row r="7">
      <c r="A7" s="17" t="inlineStr">
        <is>
          <t>Evaluation</t>
        </is>
      </c>
      <c r="B7" s="7" t="n">
        <v>152</v>
      </c>
      <c r="C7" s="7" t="n">
        <v>200</v>
      </c>
    </row>
    <row r="8">
      <c r="A8" s="17" t="inlineStr">
        <is>
          <t>Evaluate (legacy)</t>
        </is>
      </c>
      <c r="B8" s="7" t="n">
        <v>28</v>
      </c>
      <c r="C8" s="7" t="n">
        <v>50</v>
      </c>
    </row>
    <row r="9">
      <c r="A9" s="17" t="inlineStr">
        <is>
          <t>Negotiate</t>
        </is>
      </c>
      <c r="B9" s="7" t="n">
        <v>17</v>
      </c>
      <c r="C9" s="7" t="n">
        <v>22</v>
      </c>
    </row>
    <row r="10">
      <c r="A10" s="17" t="inlineStr">
        <is>
          <t>Contract Out</t>
        </is>
      </c>
      <c r="B10" s="7" t="n">
        <v>15</v>
      </c>
      <c r="C10" s="7" t="n">
        <v>16</v>
      </c>
    </row>
    <row r="11">
      <c r="A11" s="17" t="inlineStr">
        <is>
          <t>Close (legacy)</t>
        </is>
      </c>
      <c r="B11" s="7" t="n">
        <v>81</v>
      </c>
      <c r="C11" s="7" t="n">
        <v>81</v>
      </c>
    </row>
    <row r="12">
      <c r="A12" s="17" t="inlineStr">
        <is>
          <t>Closed Won - Pending Approval</t>
        </is>
      </c>
      <c r="B12" s="7" t="n">
        <v>99</v>
      </c>
      <c r="C12" s="7" t="n">
        <v>115</v>
      </c>
    </row>
    <row r="13">
      <c r="A13" s="13" t="inlineStr">
        <is>
          <t>Closed Won</t>
        </is>
      </c>
      <c r="B13" s="15" t="n">
        <v>97</v>
      </c>
      <c r="C13" s="15" t="n">
        <v>114</v>
      </c>
    </row>
    <row r="14">
      <c r="A14" s="17" t="inlineStr">
        <is>
          <t>Closed Lost</t>
        </is>
      </c>
      <c r="B14" s="7" t="n">
        <v>445</v>
      </c>
      <c r="C14" s="7" t="n">
        <v>533</v>
      </c>
    </row>
    <row r="16">
      <c r="A16" s="10" t="inlineStr">
        <is>
          <t>Conversion (clean spine)</t>
        </is>
      </c>
      <c r="B16" s="25" t="inlineStr">
        <is>
          <t>Emlyn</t>
        </is>
      </c>
      <c r="C16" s="25" t="inlineStr">
        <is>
          <t>Sam Tucker</t>
        </is>
      </c>
    </row>
    <row r="17">
      <c r="A17" s="17" t="inlineStr">
        <is>
          <t>Identify -&gt; Qualify</t>
        </is>
      </c>
      <c r="B17" s="8">
        <f>B6/B5</f>
        <v/>
      </c>
      <c r="C17" s="8">
        <f>C6/C5</f>
        <v/>
      </c>
    </row>
    <row r="18">
      <c r="A18" s="17" t="inlineStr">
        <is>
          <t>Qualify -&gt; Closed Won</t>
        </is>
      </c>
      <c r="B18" s="8">
        <f>B13/B6</f>
        <v/>
      </c>
      <c r="C18" s="8">
        <f>C13/C6</f>
        <v/>
      </c>
    </row>
    <row r="19">
      <c r="A19" s="17" t="inlineStr">
        <is>
          <t>Identify -&gt; Closed Won (overall)</t>
        </is>
      </c>
      <c r="B19" s="8">
        <f>B13/B5</f>
        <v/>
      </c>
      <c r="C19" s="8">
        <f>C13/C5</f>
        <v/>
      </c>
    </row>
    <row r="21">
      <c r="A21" s="4" t="inlineStr">
        <is>
          <t>Emlyn disqualifies harder at the top (57% advance vs 65%) but converts qualified-&gt;won best in class (30.6% vs 26.6%). Low raw win rate = wide funnel, not late-stage fumbling.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16" customWidth="1" min="4" max="4"/>
    <col width="8" customWidth="1" min="5" max="5"/>
    <col width="16" customWidth="1" min="6" max="6"/>
    <col width="15" customWidth="1" min="7" max="7"/>
    <col width="16" customWidth="1" min="8" max="8"/>
  </cols>
  <sheetData>
    <row r="1">
      <c r="A1" s="1" t="inlineStr">
        <is>
          <t>I. US Lex Pro New Business — Directional Cross-check (T12M)</t>
        </is>
      </c>
    </row>
    <row r="2">
      <c r="A2" s="4" t="inlineStr">
        <is>
          <t>Different geography/currency/segment - context only. GBP-normalised ACV. cyc=0 rows are losses (Days_to_Closed_Won null).</t>
        </is>
      </c>
    </row>
    <row r="4">
      <c r="A4" s="5" t="inlineStr">
        <is>
          <t>Rep</t>
        </is>
      </c>
      <c r="B4" s="5" t="inlineStr">
        <is>
          <t>Geo / role</t>
        </is>
      </c>
      <c r="C4" s="5" t="inlineStr">
        <is>
          <t>Won #</t>
        </is>
      </c>
      <c r="D4" s="5" t="inlineStr">
        <is>
          <t>Won ACV (GBP)</t>
        </is>
      </c>
      <c r="E4" s="5" t="inlineStr">
        <is>
          <t>Lost #</t>
        </is>
      </c>
      <c r="F4" s="5" t="inlineStr">
        <is>
          <t>Lost ACV (GBP)</t>
        </is>
      </c>
      <c r="G4" s="5" t="inlineStr">
        <is>
          <t>Win rate (count)</t>
        </is>
      </c>
      <c r="H4" s="5" t="inlineStr">
        <is>
          <t>T12M cycle (days)</t>
        </is>
      </c>
    </row>
    <row r="5">
      <c r="A5" s="13" t="inlineStr">
        <is>
          <t>Emlyn James (subject)</t>
        </is>
      </c>
      <c r="B5" s="26" t="inlineStr">
        <is>
          <t>UK / Team Lead</t>
        </is>
      </c>
      <c r="C5" s="15" t="n">
        <v>30</v>
      </c>
      <c r="D5" s="15" t="n">
        <v>358127.41</v>
      </c>
      <c r="E5" s="15" t="n">
        <v>124</v>
      </c>
      <c r="F5" s="15" t="n">
        <v>999106.8100000001</v>
      </c>
      <c r="G5" s="16">
        <f>C5/(C5+E5)</f>
        <v/>
      </c>
      <c r="H5" s="14" t="n">
        <v>127.8</v>
      </c>
    </row>
    <row r="6">
      <c r="A6" s="17" t="inlineStr">
        <is>
          <t>Matt Oginsky</t>
        </is>
      </c>
      <c r="B6" s="17" t="inlineStr">
        <is>
          <t>US / Sales Mgr (IC+mgr)</t>
        </is>
      </c>
      <c r="C6" s="7" t="n">
        <v>14</v>
      </c>
      <c r="D6" s="7" t="n">
        <v>146002.63</v>
      </c>
      <c r="E6" s="7" t="n">
        <v>53</v>
      </c>
      <c r="F6" s="7" t="n">
        <v>353570.29</v>
      </c>
      <c r="G6" s="8">
        <f>C6/(C6+E6)</f>
        <v/>
      </c>
      <c r="H6" s="18" t="n">
        <v>45.2</v>
      </c>
    </row>
    <row r="7">
      <c r="A7" s="17" t="inlineStr">
        <is>
          <t>Giancarlo Cortes</t>
        </is>
      </c>
      <c r="B7" s="17" t="inlineStr">
        <is>
          <t>US / Sales Person</t>
        </is>
      </c>
      <c r="C7" s="7" t="n">
        <v>18</v>
      </c>
      <c r="D7" s="7" t="n">
        <v>133479.32</v>
      </c>
      <c r="E7" s="7" t="n">
        <v>95</v>
      </c>
      <c r="F7" s="7" t="n">
        <v>685567.73</v>
      </c>
      <c r="G7" s="8">
        <f>C7/(C7+E7)</f>
        <v/>
      </c>
      <c r="H7" s="18" t="n">
        <v>59.4</v>
      </c>
    </row>
    <row r="9">
      <c r="A9" s="4" t="inlineStr">
        <is>
          <t>Win rates comparable across geos (same motion). Emlyn carries a heavier book than the US player-manager, but cycle is far slower even vs US.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2" customWidth="1" min="4" max="4"/>
    <col width="9" customWidth="1" min="5" max="5"/>
    <col width="12" customWidth="1" min="6" max="6"/>
    <col width="12" customWidth="1" min="7" max="7"/>
  </cols>
  <sheetData>
    <row r="1">
      <c r="A1" s="1" t="inlineStr">
        <is>
          <t>K. Sales-Cycle Decomposition by Deal Size (T12M won)</t>
        </is>
      </c>
    </row>
    <row r="2">
      <c r="A2" s="4" t="inlineStr">
        <is>
          <t>Days_to_Closed_Won__c by ACV band. Emlyn excl. 2 negative correction records. Medians computed from raw blocks below; averages via AVERAGEIFS.</t>
        </is>
      </c>
    </row>
    <row r="5">
      <c r="A5" s="5" t="inlineStr">
        <is>
          <t>Emlyn Amount (GBP)</t>
        </is>
      </c>
      <c r="B5" s="5" t="inlineStr">
        <is>
          <t>Days</t>
        </is>
      </c>
      <c r="C5" s="5" t="inlineStr">
        <is>
          <t>Band</t>
        </is>
      </c>
      <c r="E5" s="5" t="inlineStr">
        <is>
          <t>Sam Amount (GBP)</t>
        </is>
      </c>
      <c r="F5" s="5" t="inlineStr">
        <is>
          <t>Days</t>
        </is>
      </c>
      <c r="G5" s="5" t="inlineStr">
        <is>
          <t>Band</t>
        </is>
      </c>
    </row>
    <row r="6">
      <c r="A6" s="7" t="n">
        <v>6750</v>
      </c>
      <c r="B6" s="7" t="n">
        <v>159</v>
      </c>
      <c r="C6" s="17" t="inlineStr">
        <is>
          <t>&lt;GBP8K</t>
        </is>
      </c>
      <c r="E6" s="7" t="n">
        <v>6000</v>
      </c>
      <c r="F6" s="7" t="n">
        <v>36</v>
      </c>
      <c r="G6" s="17" t="inlineStr">
        <is>
          <t>&lt;GBP8K</t>
        </is>
      </c>
    </row>
    <row r="7">
      <c r="A7" s="7" t="n">
        <v>6959.61</v>
      </c>
      <c r="B7" s="7" t="n">
        <v>84</v>
      </c>
      <c r="C7" s="17" t="inlineStr">
        <is>
          <t>&lt;GBP8K</t>
        </is>
      </c>
      <c r="E7" s="7" t="n">
        <v>6000</v>
      </c>
      <c r="F7" s="7" t="n">
        <v>17</v>
      </c>
      <c r="G7" s="17" t="inlineStr">
        <is>
          <t>&lt;GBP8K</t>
        </is>
      </c>
    </row>
    <row r="8">
      <c r="A8" s="7" t="n">
        <v>7045.32</v>
      </c>
      <c r="B8" s="7" t="n">
        <v>2</v>
      </c>
      <c r="C8" s="17" t="inlineStr">
        <is>
          <t>&lt;GBP8K</t>
        </is>
      </c>
      <c r="E8" s="7" t="n">
        <v>6958.34</v>
      </c>
      <c r="F8" s="7" t="n">
        <v>59</v>
      </c>
      <c r="G8" s="17" t="inlineStr">
        <is>
          <t>&lt;GBP8K</t>
        </is>
      </c>
    </row>
    <row r="9">
      <c r="A9" s="7" t="n">
        <v>7045.32</v>
      </c>
      <c r="B9" s="7" t="n">
        <v>77</v>
      </c>
      <c r="C9" s="17" t="inlineStr">
        <is>
          <t>&lt;GBP8K</t>
        </is>
      </c>
      <c r="E9" s="7" t="n">
        <v>7200</v>
      </c>
      <c r="F9" s="7" t="n">
        <v>8</v>
      </c>
      <c r="G9" s="17" t="inlineStr">
        <is>
          <t>&lt;GBP8K</t>
        </is>
      </c>
    </row>
    <row r="10">
      <c r="A10" s="7" t="n">
        <v>7278.02</v>
      </c>
      <c r="B10" s="7" t="n">
        <v>28</v>
      </c>
      <c r="C10" s="17" t="inlineStr">
        <is>
          <t>&lt;GBP8K</t>
        </is>
      </c>
      <c r="E10" s="7" t="n">
        <v>7500</v>
      </c>
      <c r="F10" s="7" t="n">
        <v>23</v>
      </c>
      <c r="G10" s="17" t="inlineStr">
        <is>
          <t>&lt;GBP8K</t>
        </is>
      </c>
    </row>
    <row r="11">
      <c r="A11" s="7" t="n">
        <v>7436.72</v>
      </c>
      <c r="B11" s="7" t="n">
        <v>124</v>
      </c>
      <c r="C11" s="17" t="inlineStr">
        <is>
          <t>&lt;GBP8K</t>
        </is>
      </c>
      <c r="E11" s="7" t="n">
        <v>7500</v>
      </c>
      <c r="F11" s="7" t="n">
        <v>2</v>
      </c>
      <c r="G11" s="17" t="inlineStr">
        <is>
          <t>&lt;GBP8K</t>
        </is>
      </c>
    </row>
    <row r="12">
      <c r="A12" s="7" t="n">
        <v>7828.13</v>
      </c>
      <c r="B12" s="7" t="n">
        <v>106</v>
      </c>
      <c r="C12" s="17" t="inlineStr">
        <is>
          <t>&lt;GBP8K</t>
        </is>
      </c>
      <c r="E12" s="7" t="n">
        <v>7518.8</v>
      </c>
      <c r="F12" s="7" t="n">
        <v>16</v>
      </c>
      <c r="G12" s="17" t="inlineStr">
        <is>
          <t>&lt;GBP8K</t>
        </is>
      </c>
    </row>
    <row r="13">
      <c r="A13" s="7" t="n">
        <v>8187.77</v>
      </c>
      <c r="B13" s="7" t="n">
        <v>288</v>
      </c>
      <c r="C13" s="17" t="inlineStr">
        <is>
          <t>GBP8-10K</t>
        </is>
      </c>
      <c r="E13" s="7" t="n">
        <v>7828.13</v>
      </c>
      <c r="F13" s="7" t="n">
        <v>2</v>
      </c>
      <c r="G13" s="17" t="inlineStr">
        <is>
          <t>&lt;GBP8K</t>
        </is>
      </c>
    </row>
    <row r="14">
      <c r="A14" s="7" t="n">
        <v>8275.540000000001</v>
      </c>
      <c r="B14" s="7" t="n">
        <v>281</v>
      </c>
      <c r="C14" s="17" t="inlineStr">
        <is>
          <t>GBP8-10K</t>
        </is>
      </c>
      <c r="E14" s="7" t="n">
        <v>7828.13</v>
      </c>
      <c r="F14" s="7" t="n">
        <v>4</v>
      </c>
      <c r="G14" s="17" t="inlineStr">
        <is>
          <t>&lt;GBP8K</t>
        </is>
      </c>
    </row>
    <row r="15">
      <c r="A15" s="7" t="n">
        <v>8400</v>
      </c>
      <c r="B15" s="7" t="n">
        <v>13</v>
      </c>
      <c r="C15" s="17" t="inlineStr">
        <is>
          <t>GBP8-10K</t>
        </is>
      </c>
      <c r="E15" s="7" t="n">
        <v>8000</v>
      </c>
      <c r="F15" s="7" t="n">
        <v>0</v>
      </c>
      <c r="G15" s="17" t="inlineStr">
        <is>
          <t>GBP8-10K</t>
        </is>
      </c>
    </row>
    <row r="16">
      <c r="A16" s="7" t="n">
        <v>8550</v>
      </c>
      <c r="B16" s="7" t="n">
        <v>10</v>
      </c>
      <c r="C16" s="17" t="inlineStr">
        <is>
          <t>GBP8-10K</t>
        </is>
      </c>
      <c r="E16" s="7" t="n">
        <v>8000</v>
      </c>
      <c r="F16" s="7" t="n">
        <v>65</v>
      </c>
      <c r="G16" s="17" t="inlineStr">
        <is>
          <t>GBP8-10K</t>
        </is>
      </c>
    </row>
    <row r="17">
      <c r="A17" s="7" t="n">
        <v>8610.940000000001</v>
      </c>
      <c r="B17" s="7" t="n">
        <v>24</v>
      </c>
      <c r="C17" s="17" t="inlineStr">
        <is>
          <t>GBP8-10K</t>
        </is>
      </c>
      <c r="E17" s="7" t="n">
        <v>8000</v>
      </c>
      <c r="F17" s="7" t="n">
        <v>1</v>
      </c>
      <c r="G17" s="17" t="inlineStr">
        <is>
          <t>GBP8-10K</t>
        </is>
      </c>
    </row>
    <row r="18">
      <c r="A18" s="7" t="n">
        <v>8642.65</v>
      </c>
      <c r="B18" s="7" t="n">
        <v>260</v>
      </c>
      <c r="C18" s="17" t="inlineStr">
        <is>
          <t>GBP8-10K</t>
        </is>
      </c>
      <c r="E18" s="7" t="n">
        <v>8007.52</v>
      </c>
      <c r="F18" s="7" t="n">
        <v>18</v>
      </c>
      <c r="G18" s="17" t="inlineStr">
        <is>
          <t>GBP8-10K</t>
        </is>
      </c>
    </row>
    <row r="19">
      <c r="A19" s="7" t="n">
        <v>8669.610000000001</v>
      </c>
      <c r="B19" s="7" t="n">
        <v>15</v>
      </c>
      <c r="C19" s="17" t="inlineStr">
        <is>
          <t>GBP8-10K</t>
        </is>
      </c>
      <c r="E19" s="7" t="n">
        <v>8078.5</v>
      </c>
      <c r="F19" s="7" t="n">
        <v>1</v>
      </c>
      <c r="G19" s="17" t="inlineStr">
        <is>
          <t>GBP8-10K</t>
        </is>
      </c>
    </row>
    <row r="20">
      <c r="A20" s="7" t="n">
        <v>9097.530000000001</v>
      </c>
      <c r="B20" s="7" t="n">
        <v>106</v>
      </c>
      <c r="C20" s="17" t="inlineStr">
        <is>
          <t>GBP8-10K</t>
        </is>
      </c>
      <c r="E20" s="7" t="n">
        <v>8697.92</v>
      </c>
      <c r="F20" s="7" t="n">
        <v>1</v>
      </c>
      <c r="G20" s="17" t="inlineStr">
        <is>
          <t>GBP8-10K</t>
        </is>
      </c>
    </row>
    <row r="21">
      <c r="A21" s="7" t="n">
        <v>9097.530000000001</v>
      </c>
      <c r="B21" s="7" t="n">
        <v>77</v>
      </c>
      <c r="C21" s="17" t="inlineStr">
        <is>
          <t>GBP8-10K</t>
        </is>
      </c>
      <c r="E21" s="7" t="n">
        <v>8697.92</v>
      </c>
      <c r="F21" s="7" t="n">
        <v>20</v>
      </c>
      <c r="G21" s="17" t="inlineStr">
        <is>
          <t>GBP8-10K</t>
        </is>
      </c>
    </row>
    <row r="22">
      <c r="A22" s="7" t="n">
        <v>10959.38</v>
      </c>
      <c r="B22" s="7" t="n">
        <v>152</v>
      </c>
      <c r="C22" s="17" t="inlineStr">
        <is>
          <t>GBP10-20K</t>
        </is>
      </c>
      <c r="E22" s="7" t="n">
        <v>8697.92</v>
      </c>
      <c r="F22" s="7" t="n">
        <v>5</v>
      </c>
      <c r="G22" s="17" t="inlineStr">
        <is>
          <t>GBP8-10K</t>
        </is>
      </c>
    </row>
    <row r="23">
      <c r="A23" s="7" t="n">
        <v>13046.88</v>
      </c>
      <c r="B23" s="7" t="n">
        <v>76</v>
      </c>
      <c r="C23" s="17" t="inlineStr">
        <is>
          <t>GBP10-20K</t>
        </is>
      </c>
      <c r="E23" s="7" t="n">
        <v>9022.559999999999</v>
      </c>
      <c r="F23" s="7" t="n">
        <v>1</v>
      </c>
      <c r="G23" s="17" t="inlineStr">
        <is>
          <t>GBP8-10K</t>
        </is>
      </c>
    </row>
    <row r="24">
      <c r="A24" s="7" t="n">
        <v>13046.88</v>
      </c>
      <c r="B24" s="7" t="n">
        <v>124</v>
      </c>
      <c r="C24" s="17" t="inlineStr">
        <is>
          <t>GBP10-20K</t>
        </is>
      </c>
      <c r="E24" s="7" t="n">
        <v>11272.51</v>
      </c>
      <c r="F24" s="7" t="n">
        <v>19</v>
      </c>
      <c r="G24" s="17" t="inlineStr">
        <is>
          <t>GBP10-20K</t>
        </is>
      </c>
    </row>
    <row r="25">
      <c r="A25" s="7" t="n">
        <v>15037.59</v>
      </c>
      <c r="B25" s="7" t="n">
        <v>99</v>
      </c>
      <c r="C25" s="17" t="inlineStr">
        <is>
          <t>GBP10-20K</t>
        </is>
      </c>
      <c r="E25" s="7" t="n">
        <v>12000</v>
      </c>
      <c r="F25" s="7" t="n">
        <v>56</v>
      </c>
      <c r="G25" s="17" t="inlineStr">
        <is>
          <t>GBP10-20K</t>
        </is>
      </c>
    </row>
    <row r="26">
      <c r="A26" s="7" t="n">
        <v>17395.84</v>
      </c>
      <c r="B26" s="7" t="n">
        <v>54</v>
      </c>
      <c r="C26" s="17" t="inlineStr">
        <is>
          <t>GBP10-20K</t>
        </is>
      </c>
      <c r="E26" s="7" t="n">
        <v>12525.01</v>
      </c>
      <c r="F26" s="7" t="n">
        <v>357</v>
      </c>
      <c r="G26" s="17" t="inlineStr">
        <is>
          <t>GBP10-20K</t>
        </is>
      </c>
    </row>
    <row r="27">
      <c r="A27" s="7" t="n">
        <v>20000</v>
      </c>
      <c r="B27" s="7" t="n">
        <v>10</v>
      </c>
      <c r="C27" s="17" t="inlineStr">
        <is>
          <t>GBP20K+</t>
        </is>
      </c>
      <c r="E27" s="7" t="n">
        <v>12525.01</v>
      </c>
      <c r="F27" s="7" t="n">
        <v>1</v>
      </c>
      <c r="G27" s="17" t="inlineStr">
        <is>
          <t>GBP10-20K</t>
        </is>
      </c>
    </row>
    <row r="28">
      <c r="A28" s="7" t="n">
        <v>20014.56</v>
      </c>
      <c r="B28" s="7" t="n">
        <v>97</v>
      </c>
      <c r="C28" s="17" t="inlineStr">
        <is>
          <t>GBP20K+</t>
        </is>
      </c>
      <c r="E28" s="7" t="n">
        <v>12631.58</v>
      </c>
      <c r="F28" s="7" t="n">
        <v>114</v>
      </c>
      <c r="G28" s="17" t="inlineStr">
        <is>
          <t>GBP10-20K</t>
        </is>
      </c>
    </row>
    <row r="29">
      <c r="A29" s="7" t="n">
        <v>21000</v>
      </c>
      <c r="B29" s="7" t="n">
        <v>522</v>
      </c>
      <c r="C29" s="17" t="inlineStr">
        <is>
          <t>GBP20K+</t>
        </is>
      </c>
      <c r="E29" s="7" t="n">
        <v>12720.16</v>
      </c>
      <c r="F29" s="7" t="n">
        <v>134</v>
      </c>
      <c r="G29" s="17" t="inlineStr">
        <is>
          <t>GBP10-20K</t>
        </is>
      </c>
    </row>
    <row r="30">
      <c r="A30" s="7" t="n">
        <v>21744.8</v>
      </c>
      <c r="B30" s="7" t="n">
        <v>78</v>
      </c>
      <c r="C30" s="17" t="inlineStr">
        <is>
          <t>GBP20K+</t>
        </is>
      </c>
      <c r="E30" s="7" t="n">
        <v>12781.95</v>
      </c>
      <c r="F30" s="7" t="n">
        <v>1</v>
      </c>
      <c r="G30" s="17" t="inlineStr">
        <is>
          <t>GBP10-20K</t>
        </is>
      </c>
    </row>
    <row r="31">
      <c r="A31" s="7" t="n">
        <v>31125</v>
      </c>
      <c r="B31" s="7" t="n">
        <v>59</v>
      </c>
      <c r="C31" s="17" t="inlineStr">
        <is>
          <t>GBP20K+</t>
        </is>
      </c>
      <c r="E31" s="7" t="n">
        <v>15221.36</v>
      </c>
      <c r="F31" s="7" t="n">
        <v>202</v>
      </c>
      <c r="G31" s="17" t="inlineStr">
        <is>
          <t>GBP10-20K</t>
        </is>
      </c>
    </row>
    <row r="32">
      <c r="A32" s="7" t="n">
        <v>43489.61</v>
      </c>
      <c r="B32" s="7" t="n">
        <v>693</v>
      </c>
      <c r="C32" s="17" t="inlineStr">
        <is>
          <t>GBP20K+</t>
        </is>
      </c>
      <c r="E32" s="7" t="n">
        <v>16375.55</v>
      </c>
      <c r="F32" s="7" t="n">
        <v>62</v>
      </c>
      <c r="G32" s="17" t="inlineStr">
        <is>
          <t>GBP10-20K</t>
        </is>
      </c>
    </row>
    <row r="33">
      <c r="E33" s="7" t="n">
        <v>17395.84</v>
      </c>
      <c r="F33" s="7" t="n">
        <v>22</v>
      </c>
      <c r="G33" s="17" t="inlineStr">
        <is>
          <t>GBP10-20K</t>
        </is>
      </c>
    </row>
    <row r="34">
      <c r="E34" s="7" t="n">
        <v>17658</v>
      </c>
      <c r="F34" s="7" t="n">
        <v>12</v>
      </c>
      <c r="G34" s="17" t="inlineStr">
        <is>
          <t>GBP10-20K</t>
        </is>
      </c>
    </row>
    <row r="35">
      <c r="E35" s="7" t="n">
        <v>19613.81</v>
      </c>
      <c r="F35" s="7" t="n">
        <v>65</v>
      </c>
      <c r="G35" s="17" t="inlineStr">
        <is>
          <t>GBP10-20K</t>
        </is>
      </c>
    </row>
    <row r="36">
      <c r="E36" s="7" t="n">
        <v>20875.01</v>
      </c>
      <c r="F36" s="7" t="n">
        <v>98</v>
      </c>
      <c r="G36" s="17" t="inlineStr">
        <is>
          <t>GBP20K+</t>
        </is>
      </c>
    </row>
    <row r="37">
      <c r="E37" s="7" t="n">
        <v>39000</v>
      </c>
      <c r="F37" s="7" t="n">
        <v>12</v>
      </c>
      <c r="G37" s="17" t="inlineStr">
        <is>
          <t>GBP20K+</t>
        </is>
      </c>
    </row>
    <row r="39">
      <c r="A39" s="2" t="inlineStr">
        <is>
          <t>SUMMARY — median &amp; average cycle (days) by band</t>
        </is>
      </c>
    </row>
    <row r="40">
      <c r="A40" s="5" t="inlineStr">
        <is>
          <t>ACV band</t>
        </is>
      </c>
      <c r="B40" s="5" t="inlineStr">
        <is>
          <t>Emlyn n</t>
        </is>
      </c>
      <c r="C40" s="5" t="inlineStr">
        <is>
          <t>Emlyn median</t>
        </is>
      </c>
      <c r="D40" s="5" t="inlineStr">
        <is>
          <t>Emlyn avg</t>
        </is>
      </c>
      <c r="E40" s="5" t="inlineStr">
        <is>
          <t>Sam n</t>
        </is>
      </c>
      <c r="F40" s="5" t="inlineStr">
        <is>
          <t>Sam median</t>
        </is>
      </c>
      <c r="G40" s="5" t="inlineStr">
        <is>
          <t>Sam avg</t>
        </is>
      </c>
    </row>
    <row r="41">
      <c r="A41" s="13" t="inlineStr">
        <is>
          <t>&lt; GBP8K</t>
        </is>
      </c>
      <c r="B41" s="26">
        <f>COUNTIF(C6:C32,"&lt;GBP8K")</f>
        <v/>
      </c>
      <c r="C41" s="14" t="n">
        <v>84</v>
      </c>
      <c r="D41" s="27">
        <f>AVERAGEIFS(B6:B32,C6:C32,"&lt;GBP8K")</f>
        <v/>
      </c>
      <c r="E41" s="26">
        <f>COUNTIF(G6:G37,"&lt;GBP8K")</f>
        <v/>
      </c>
      <c r="F41" s="14" t="n">
        <v>16</v>
      </c>
      <c r="G41" s="27">
        <f>AVERAGEIFS(F6:F37,G6:G37,"&lt;GBP8K")</f>
        <v/>
      </c>
    </row>
    <row r="42">
      <c r="A42" s="13" t="inlineStr">
        <is>
          <t>GBP8-10K</t>
        </is>
      </c>
      <c r="B42" s="26">
        <f>COUNTIF(C6:C32,"GBP8-10K")</f>
        <v/>
      </c>
      <c r="C42" s="14" t="n">
        <v>77</v>
      </c>
      <c r="D42" s="27">
        <f>AVERAGEIFS(B6:B32,C6:C32,"GBP8-10K")</f>
        <v/>
      </c>
      <c r="E42" s="26">
        <f>COUNTIF(G6:G37,"GBP8-10K")</f>
        <v/>
      </c>
      <c r="F42" s="14" t="n">
        <v>1</v>
      </c>
      <c r="G42" s="27">
        <f>AVERAGEIFS(F6:F37,G6:G37,"GBP8-10K")</f>
        <v/>
      </c>
    </row>
    <row r="43">
      <c r="A43" s="17" t="inlineStr">
        <is>
          <t>GBP10-20K</t>
        </is>
      </c>
      <c r="B43" s="17">
        <f>COUNTIF(C6:C32,"GBP10-20K")</f>
        <v/>
      </c>
      <c r="C43" s="18" t="n">
        <v>99</v>
      </c>
      <c r="D43" s="28">
        <f>AVERAGEIFS(B6:B32,C6:C32,"GBP10-20K")</f>
        <v/>
      </c>
      <c r="E43" s="17">
        <f>COUNTIF(G6:G37,"GBP10-20K")</f>
        <v/>
      </c>
      <c r="F43" s="18" t="n">
        <v>59</v>
      </c>
      <c r="G43" s="28">
        <f>AVERAGEIFS(F6:F37,G6:G37,"GBP10-20K")</f>
        <v/>
      </c>
    </row>
    <row r="44">
      <c r="A44" s="17" t="inlineStr">
        <is>
          <t>GBP20K+</t>
        </is>
      </c>
      <c r="B44" s="17">
        <f>COUNTIF(C6:C32,"GBP20K+")</f>
        <v/>
      </c>
      <c r="C44" s="18" t="n">
        <v>87.5</v>
      </c>
      <c r="D44" s="28">
        <f>AVERAGEIFS(B6:B32,C6:C32,"GBP20K+")</f>
        <v/>
      </c>
      <c r="E44" s="17">
        <f>COUNTIF(G6:G37,"GBP20K+")</f>
        <v/>
      </c>
      <c r="F44" s="18" t="n">
        <v>55</v>
      </c>
      <c r="G44" s="28">
        <f>AVERAGEIFS(F6:F37,G6:G37,"GBP20K+")</f>
        <v/>
      </c>
    </row>
    <row r="46">
      <c r="A46" s="4" t="inlineStr">
        <is>
          <t>Slack is in small deals (highlighted): Emlyn's sub-GBP10K deals take ~77-84 median days vs Sam ~1-16. GBP20K+ deals legitimately slow.</t>
        </is>
      </c>
    </row>
    <row r="47">
      <c r="A47" s="4" t="inlineStr">
        <is>
          <t>Caveat: ~1/3 of Sam's deals close in &lt;=2 days (opps logged at close) - deflates his measured cycle; the real signal is Emlyn's absolute small-deal velocity.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2" customWidth="1" min="5" max="5"/>
    <col width="16" customWidth="1" min="6" max="6"/>
    <col width="14" customWidth="1" min="7" max="7"/>
    <col width="18" customWidth="1" min="8" max="8"/>
  </cols>
  <sheetData>
    <row r="1">
      <c r="A1" s="1" t="inlineStr">
        <is>
          <t>L. Pod Funnel — Identify -&gt; Qualify -&gt; Won (OpportunityHistory, distinct NB opps)</t>
        </is>
      </c>
    </row>
    <row r="2">
      <c r="A2" s="4" t="inlineStr">
        <is>
          <t>Emlyn (lead) + reports George &amp; Jacob, vs like-for-like peer Sam Tucker. Conversion ratios are Excel formulas.</t>
        </is>
      </c>
    </row>
    <row r="4">
      <c r="A4" s="5" t="inlineStr">
        <is>
          <t>Rep</t>
        </is>
      </c>
      <c r="B4" s="5" t="inlineStr">
        <is>
          <t>Role</t>
        </is>
      </c>
      <c r="C4" s="5" t="inlineStr">
        <is>
          <t>Identify</t>
        </is>
      </c>
      <c r="D4" s="5" t="inlineStr">
        <is>
          <t>Qualify</t>
        </is>
      </c>
      <c r="E4" s="5" t="inlineStr">
        <is>
          <t>Closed Won</t>
        </is>
      </c>
      <c r="F4" s="5" t="inlineStr">
        <is>
          <t>Identify-&gt;Qualify</t>
        </is>
      </c>
      <c r="G4" s="5" t="inlineStr">
        <is>
          <t>Qualify-&gt;Won</t>
        </is>
      </c>
      <c r="H4" s="5" t="inlineStr">
        <is>
          <t>Identify-&gt;Won (overall)</t>
        </is>
      </c>
    </row>
    <row r="5">
      <c r="A5" s="13" t="inlineStr">
        <is>
          <t>Emlyn James</t>
        </is>
      </c>
      <c r="B5" s="26" t="inlineStr">
        <is>
          <t>Team Lead (subject)</t>
        </is>
      </c>
      <c r="C5" s="15" t="n">
        <v>558</v>
      </c>
      <c r="D5" s="15" t="n">
        <v>317</v>
      </c>
      <c r="E5" s="15" t="n">
        <v>97</v>
      </c>
      <c r="F5" s="29">
        <f>D5/C5</f>
        <v/>
      </c>
      <c r="G5" s="16">
        <f>E5/D5</f>
        <v/>
      </c>
      <c r="H5" s="29">
        <f>E5/C5</f>
        <v/>
      </c>
    </row>
    <row r="6">
      <c r="A6" s="17" t="inlineStr">
        <is>
          <t>Sam Tucker</t>
        </is>
      </c>
      <c r="B6" s="17" t="inlineStr">
        <is>
          <t>Team Lead (peer)</t>
        </is>
      </c>
      <c r="C6" s="7" t="n">
        <v>661</v>
      </c>
      <c r="D6" s="7" t="n">
        <v>429</v>
      </c>
      <c r="E6" s="7" t="n">
        <v>114</v>
      </c>
      <c r="F6" s="8">
        <f>D6/C6</f>
        <v/>
      </c>
      <c r="G6" s="8">
        <f>E6/D6</f>
        <v/>
      </c>
      <c r="H6" s="8">
        <f>E6/C6</f>
        <v/>
      </c>
    </row>
    <row r="7">
      <c r="A7" s="17" t="inlineStr">
        <is>
          <t>George Stone-Sobol</t>
        </is>
      </c>
      <c r="B7" s="17" t="inlineStr">
        <is>
          <t>Report (Sr BDM)</t>
        </is>
      </c>
      <c r="C7" s="7" t="n">
        <v>338</v>
      </c>
      <c r="D7" s="7" t="n">
        <v>223</v>
      </c>
      <c r="E7" s="7" t="n">
        <v>37</v>
      </c>
      <c r="F7" s="8">
        <f>D7/C7</f>
        <v/>
      </c>
      <c r="G7" s="8">
        <f>E7/D7</f>
        <v/>
      </c>
      <c r="H7" s="8">
        <f>E7/C7</f>
        <v/>
      </c>
    </row>
    <row r="8">
      <c r="A8" s="17" t="inlineStr">
        <is>
          <t>Jacob Johnston</t>
        </is>
      </c>
      <c r="B8" s="17" t="inlineStr">
        <is>
          <t>Report (BDM, ramping)</t>
        </is>
      </c>
      <c r="C8" s="7" t="n">
        <v>144</v>
      </c>
      <c r="D8" s="7" t="n">
        <v>58</v>
      </c>
      <c r="E8" s="7" t="n">
        <v>12</v>
      </c>
      <c r="F8" s="8">
        <f>D8/C8</f>
        <v/>
      </c>
      <c r="G8" s="8">
        <f>E8/D8</f>
        <v/>
      </c>
      <c r="H8" s="8">
        <f>E8/C8</f>
        <v/>
      </c>
    </row>
    <row r="10">
      <c r="A10" s="4" t="inlineStr">
        <is>
          <t>Emlyn: tight qualifier, BEST closer (Q-&gt;W 30.6%). George: loose qualifier, WEAK closer (16.6%) - the mirror of Emlyn's strength = natural coaching match.</t>
        </is>
      </c>
    </row>
    <row r="11">
      <c r="A11" s="4" t="inlineStr">
        <is>
          <t>Jacob (1.2yr) still building qualification (I-&gt;Q 40%). Pod-wide shared weakness = velocity (Emlyn &amp; George ~125-day T12M cycle).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2026-06-24T10:25:04Z</dcterms:created>
  <dcterms:modified xmlns:dcterms="http://purl.org/dc/terms/" xmlns:xsi="http://www.w3.org/2001/XMLSchema-instance" xsi:type="dcterms:W3CDTF">2026-06-25T16:39:01Z</dcterms:modified>
</cp:coreProperties>
</file>